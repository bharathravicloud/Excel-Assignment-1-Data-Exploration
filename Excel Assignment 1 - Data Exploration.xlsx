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Bharath\Downloads\Data Analytics\Excel Assignment 1 - Data Exploration\"/>
    </mc:Choice>
  </mc:AlternateContent>
  <xr:revisionPtr revIDLastSave="0" documentId="13_ncr:1_{D950D544-B905-4E6A-9F59-6E0DF707BF0A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Raw Dataset" sheetId="1" r:id="rId1"/>
    <sheet name="Assignment" sheetId="2" r:id="rId2"/>
  </sheets>
  <calcPr calcId="191029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sharedStrings.xml><?xml version="1.0" encoding="utf-8"?>
<sst xmlns="http://schemas.openxmlformats.org/spreadsheetml/2006/main" count="297" uniqueCount="106">
  <si>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</si>
  <si>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</si>
  <si>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</si>
  <si>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</si>
  <si>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</si>
  <si>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</si>
  <si>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</si>
  <si>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</si>
  <si>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</si>
  <si>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</si>
  <si>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</si>
  <si>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</si>
  <si>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</si>
  <si>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</si>
  <si>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</si>
  <si>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</si>
  <si>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</si>
  <si>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</si>
  <si>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</si>
  <si>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</si>
  <si>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</si>
  <si>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</si>
  <si>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</si>
  <si>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</si>
  <si>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</si>
  <si>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</si>
  <si>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</si>
  <si>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</si>
  <si>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</si>
  <si>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</si>
  <si>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</si>
  <si>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</si>
  <si>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</si>
  <si>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</si>
  <si>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</si>
  <si>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</si>
  <si>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</si>
  <si>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</si>
  <si>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</si>
  <si>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</si>
  <si>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</si>
  <si>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</si>
  <si>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</si>
  <si>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</si>
  <si>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</si>
  <si>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</si>
  <si>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</si>
  <si>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</si>
  <si>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</si>
  <si>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</si>
  <si>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</si>
  <si>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</si>
  <si>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</si>
  <si>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</si>
  <si>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</si>
  <si>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</si>
  <si>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</si>
  <si>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</si>
  <si>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</si>
  <si>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</si>
  <si>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</si>
  <si>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</si>
  <si>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</si>
  <si>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</si>
  <si>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</si>
  <si>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</si>
  <si>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</si>
  <si>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</si>
  <si>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</si>
  <si>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</si>
  <si>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</si>
  <si>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</si>
  <si>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</si>
  <si>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</si>
  <si>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</si>
  <si>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</si>
  <si>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</si>
  <si>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</si>
  <si>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</si>
  <si>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</si>
  <si>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</si>
  <si>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</si>
  <si>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</si>
  <si>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</si>
  <si>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</si>
  <si>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</si>
  <si>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</si>
  <si>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</si>
  <si>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</si>
  <si>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</si>
  <si>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</si>
  <si>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</si>
  <si>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</si>
  <si>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dataset.</t>
  </si>
  <si>
    <t>Determine how many products exist in the dataset.</t>
  </si>
  <si>
    <t>Calculate the average price of the products.</t>
  </si>
  <si>
    <t>Identify the minimum price among all products.</t>
  </si>
  <si>
    <t>Identify the maximum price among all products.</t>
  </si>
  <si>
    <t>Price Range</t>
  </si>
  <si>
    <t>Total price of products in the Electronics category.</t>
  </si>
  <si>
    <t>The number of products with a price less than $100.</t>
  </si>
  <si>
    <t>Day</t>
  </si>
  <si>
    <t xml:space="preserve"> Country Code</t>
  </si>
  <si>
    <t xml:space="preserve"> Month </t>
  </si>
  <si>
    <t>Total</t>
  </si>
  <si>
    <t>Basic Data Exploration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</si>
</sst>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2" fillId="0" borderId="1" xfId="0" applyFont="1" applyBorder="1"/>
    <xf numFmtId="0" fontId="2" fillId="3" borderId="1" xfId="0" applyFont="1" applyFill="1" applyBorder="1"/>
    <xf numFmtId="0" fontId="2" fillId="0" borderId="3" xfId="0" applyFont="1" applyBorder="1"/>
    <xf numFmtId="0" fontId="2" fillId="3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0" fillId="0" borderId="0" xfId="0" applyFont="1" applyAlignment="1">
      <alignment horizontal="right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7" xfId="0" applyFont="1" applyBorder="1" applyAlignment="1"/>
    <xf numFmtId="0" fontId="0" fillId="0" borderId="9" xfId="0" applyFont="1" applyBorder="1" applyAlignment="1"/>
    <xf numFmtId="0" fontId="0" fillId="0" borderId="6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FFD964-B1BE-4CA8-A492-2AEBA1D2D255}" name="Table2" displayName="Table2" ref="A1:J35" totalsRowShown="0" headerRowDxfId="20" dataDxfId="18" headerRowBorderDxfId="19" tableBorderDxfId="17" totalsRowBorderDxfId="16">
  <tableColumns count="10">
    <tableColumn id="1" xr3:uid="{1A86C9E7-0BF5-46A3-8125-ECF84F89748E}" name="Product ID" dataDxfId="15"/>
    <tableColumn id="2" xr3:uid="{D28C7310-1BB7-4F03-890A-ABE33E71A4C4}" name="Product Name" dataDxfId="14"/>
    <tableColumn id="3" xr3:uid="{E4994E0C-B50C-4809-82F0-95799A1AFD45}" name="Brand Name" dataDxfId="13"/>
    <tableColumn id="4" xr3:uid="{BF7A9B9A-D9A7-4E8B-8611-C8E4503F01DA}" name="Price ($)" dataDxfId="12"/>
    <tableColumn id="5" xr3:uid="{E1034DAC-301B-4F66-9621-45007A9ED2A7}" name="Quantity" dataDxfId="11"/>
    <tableColumn id="6" xr3:uid="{A15F51D7-8575-4260-B8CE-925348587F9A}" name="Category" dataDxfId="10"/>
    <tableColumn id="7" xr3:uid="{47EDD80A-8BFB-4363-8F3C-E851E7FE3694}" name="Price Range" dataDxfId="9">
      <calculatedColumnFormula>IF(Table2[[#This Row],[Price ($)]]&gt;500,"High Price","Standard Price")</calculatedColumnFormula>
    </tableColumn>
    <tableColumn id="8" xr3:uid="{E2D7C438-678B-4DF6-8E7E-8E1F4EB8FF01}" name="Day" dataDxfId="8">
      <calculatedColumnFormula>LEFT(Table2[[#This Row],[Product ID]],2)</calculatedColumnFormula>
    </tableColumn>
    <tableColumn id="13" xr3:uid="{0D09C58B-8A7D-4A3B-BC84-1C7B1C3A5A91}" name=" Country Code" dataDxfId="7">
      <calculatedColumnFormula>RIGHT(Table2[[#This Row],[Product ID]],2)</calculatedColumnFormula>
    </tableColumn>
    <tableColumn id="14" xr3:uid="{B2EC366B-A0B4-474F-95EB-D1CF3C568BD8}" name=" Month " dataDxfId="6">
      <calculatedColumnFormula>MID(Table2[[#This Row],[Product ID]],4,3)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A38F98-D678-4C6C-A457-E938B332306C}" name="Table5" displayName="Table5" ref="K1:L8" totalsRowShown="0" headerRowDxfId="5" headerRowBorderDxfId="4" tableBorderDxfId="3" totalsRowBorderDxfId="2">
  <tableColumns count="2">
    <tableColumn id="1" xr3:uid="{DC1103BA-1BB5-4F91-AE9A-A1E0367DE4DB}" name="Basic Data Exploration" dataDxfId="1"/>
    <tableColumn id="2" xr3:uid="{A2F1A6FF-2D6F-4F4A-A0B6-8874221A4E53}" name="Total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/>
  </sheetViews>
  <sheetFormatPr defaultColWidth="12.5703125" defaultRowHeight="15" customHeight="1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6D45-EF4A-4E6E-BEB1-C105BE4F40ED}">
  <sheetPr>
    <outlinePr summaryBelow="0" summaryRight="0"/>
  </sheetPr>
  <dimension ref="A1:L1000"/>
  <sheetViews>
    <sheetView tabSelected="1" topLeftCell="C1" workbookViewId="0">
      <selection activeCell="L10" sqref="L10"/>
    </sheetView>
  </sheetViews>
  <sheetFormatPr defaultColWidth="12.5703125" defaultRowHeight="15" customHeight="1" x14ac:dyDescent="0.2"/>
  <cols>
    <col min="1" max="1" width="15" style="19" bestFit="1" customWidth="1"/>
    <col min="2" max="2" width="18.5703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  <col min="7" max="7" width="16.7109375" bestFit="1" customWidth="1"/>
    <col min="8" max="8" width="9" style="15" bestFit="1" customWidth="1"/>
    <col min="9" max="9" width="18.5703125" style="19" bestFit="1" customWidth="1"/>
    <col min="10" max="10" width="12.28515625" style="19" bestFit="1" customWidth="1"/>
    <col min="11" max="11" width="47.140625" customWidth="1"/>
  </cols>
  <sheetData>
    <row r="1" spans="1:12" ht="15.75" customHeigh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98</v>
      </c>
      <c r="H1" s="12" t="s">
        <v>101</v>
      </c>
      <c r="I1" s="12" t="s">
        <v>102</v>
      </c>
      <c r="J1" s="12" t="s">
        <v>103</v>
      </c>
      <c r="K1" s="31" t="s">
        <v>105</v>
      </c>
      <c r="L1" s="30" t="s">
        <v>104</v>
      </c>
    </row>
    <row r="2" spans="1:12" ht="15.75" customHeight="1" x14ac:dyDescent="0.2">
      <c r="A2" s="16" t="s">
        <v>6</v>
      </c>
      <c r="B2" s="6" t="s">
        <v>7</v>
      </c>
      <c r="C2" s="6" t="s">
        <v>8</v>
      </c>
      <c r="D2" s="6">
        <v>1000</v>
      </c>
      <c r="E2" s="6">
        <v>30</v>
      </c>
      <c r="F2" s="8" t="s">
        <v>9</v>
      </c>
      <c r="G2" s="8" t="str">
        <f>IF(Table2[[#This Row],[Price ($)]]&gt;500,"High Price","Standard Price")</f>
        <v>High Price</v>
      </c>
      <c r="H2" s="23" t="str">
        <f>LEFT(Table2[[#This Row],[Product ID]],2)</f>
        <v>28</v>
      </c>
      <c r="I2" s="20" t="str">
        <f>RIGHT(Table2[[#This Row],[Product ID]],2)</f>
        <v>US</v>
      </c>
      <c r="J2" s="20" t="str">
        <f>MID(Table2[[#This Row],[Product ID]],4,3)</f>
        <v>JAN</v>
      </c>
      <c r="K2" s="26" t="s">
        <v>93</v>
      </c>
      <c r="L2" s="27">
        <f>SUM(Table2[Price ($)])</f>
        <v>10100</v>
      </c>
    </row>
    <row r="3" spans="1:12" ht="15.75" customHeight="1" x14ac:dyDescent="0.2">
      <c r="A3" s="17" t="s">
        <v>10</v>
      </c>
      <c r="B3" s="7" t="s">
        <v>11</v>
      </c>
      <c r="C3" s="7" t="s">
        <v>12</v>
      </c>
      <c r="D3" s="7">
        <v>80</v>
      </c>
      <c r="E3" s="7">
        <v>15</v>
      </c>
      <c r="F3" s="9" t="s">
        <v>13</v>
      </c>
      <c r="G3" s="9" t="str">
        <f>IF(Table2[[#This Row],[Price ($)]]&gt;500,"High Price","Standard Price")</f>
        <v>Standard Price</v>
      </c>
      <c r="H3" s="24" t="str">
        <f>LEFT(Table2[[#This Row],[Product ID]],2)</f>
        <v>15</v>
      </c>
      <c r="I3" s="21" t="str">
        <f>RIGHT(Table2[[#This Row],[Product ID]],2)</f>
        <v>US</v>
      </c>
      <c r="J3" s="21" t="str">
        <f>MID(Table2[[#This Row],[Product ID]],4,3)</f>
        <v>FEB</v>
      </c>
      <c r="K3" s="26" t="s">
        <v>94</v>
      </c>
      <c r="L3" s="27">
        <f>COUNTA(Table2[[#All],[Product Name]])</f>
        <v>35</v>
      </c>
    </row>
    <row r="4" spans="1:12" ht="15.75" customHeight="1" x14ac:dyDescent="0.2">
      <c r="A4" s="16" t="s">
        <v>14</v>
      </c>
      <c r="B4" s="6" t="s">
        <v>15</v>
      </c>
      <c r="C4" s="6" t="s">
        <v>16</v>
      </c>
      <c r="D4" s="6">
        <v>130</v>
      </c>
      <c r="E4" s="6">
        <v>40</v>
      </c>
      <c r="F4" s="8" t="s">
        <v>17</v>
      </c>
      <c r="G4" s="8" t="str">
        <f>IF(Table2[[#This Row],[Price ($)]]&gt;500,"High Price","Standard Price")</f>
        <v>Standard Price</v>
      </c>
      <c r="H4" s="23" t="str">
        <f>LEFT(Table2[[#This Row],[Product ID]],2)</f>
        <v>03</v>
      </c>
      <c r="I4" s="20" t="str">
        <f>RIGHT(Table2[[#This Row],[Product ID]],2)</f>
        <v>US</v>
      </c>
      <c r="J4" s="20" t="str">
        <f>MID(Table2[[#This Row],[Product ID]],4,3)</f>
        <v>MAR</v>
      </c>
      <c r="K4" s="26" t="s">
        <v>95</v>
      </c>
      <c r="L4" s="27">
        <f>AVERAGE(Table2[Price ($)])</f>
        <v>297.05882352941177</v>
      </c>
    </row>
    <row r="5" spans="1:12" ht="15.75" customHeight="1" x14ac:dyDescent="0.2">
      <c r="A5" s="17" t="s">
        <v>18</v>
      </c>
      <c r="B5" s="7" t="s">
        <v>19</v>
      </c>
      <c r="C5" s="7" t="s">
        <v>20</v>
      </c>
      <c r="D5" s="7">
        <v>900</v>
      </c>
      <c r="E5" s="7">
        <v>25</v>
      </c>
      <c r="F5" s="9" t="s">
        <v>9</v>
      </c>
      <c r="G5" s="9" t="str">
        <f>IF(Table2[[#This Row],[Price ($)]]&gt;500,"High Price","Standard Price")</f>
        <v>High Price</v>
      </c>
      <c r="H5" s="24" t="str">
        <f>LEFT(Table2[[#This Row],[Product ID]],2)</f>
        <v>11</v>
      </c>
      <c r="I5" s="21" t="str">
        <f>RIGHT(Table2[[#This Row],[Product ID]],2)</f>
        <v>US</v>
      </c>
      <c r="J5" s="21" t="str">
        <f>MID(Table2[[#This Row],[Product ID]],4,3)</f>
        <v>APR</v>
      </c>
      <c r="K5" s="26" t="s">
        <v>96</v>
      </c>
      <c r="L5" s="27">
        <f>MIN(Table2[Price ($)])</f>
        <v>30</v>
      </c>
    </row>
    <row r="6" spans="1:12" ht="15.75" customHeight="1" x14ac:dyDescent="0.2">
      <c r="A6" s="16" t="s">
        <v>21</v>
      </c>
      <c r="B6" s="6" t="s">
        <v>22</v>
      </c>
      <c r="C6" s="6" t="s">
        <v>23</v>
      </c>
      <c r="D6" s="6">
        <v>70</v>
      </c>
      <c r="E6" s="6">
        <v>20</v>
      </c>
      <c r="F6" s="8" t="s">
        <v>24</v>
      </c>
      <c r="G6" s="8" t="str">
        <f>IF(Table2[[#This Row],[Price ($)]]&gt;500,"High Price","Standard Price")</f>
        <v>Standard Price</v>
      </c>
      <c r="H6" s="23" t="str">
        <f>LEFT(Table2[[#This Row],[Product ID]],2)</f>
        <v>22</v>
      </c>
      <c r="I6" s="20" t="str">
        <f>RIGHT(Table2[[#This Row],[Product ID]],2)</f>
        <v>US</v>
      </c>
      <c r="J6" s="20" t="str">
        <f>MID(Table2[[#This Row],[Product ID]],4,3)</f>
        <v>MAY</v>
      </c>
      <c r="K6" s="26" t="s">
        <v>97</v>
      </c>
      <c r="L6" s="27">
        <f>MAX(Table2[Price ($)])</f>
        <v>1000</v>
      </c>
    </row>
    <row r="7" spans="1:12" ht="15.75" customHeight="1" x14ac:dyDescent="0.2">
      <c r="A7" s="17" t="s">
        <v>25</v>
      </c>
      <c r="B7" s="7" t="s">
        <v>26</v>
      </c>
      <c r="C7" s="7" t="s">
        <v>27</v>
      </c>
      <c r="D7" s="7">
        <v>200</v>
      </c>
      <c r="E7" s="7">
        <v>45</v>
      </c>
      <c r="F7" s="9" t="s">
        <v>9</v>
      </c>
      <c r="G7" s="9" t="str">
        <f>IF(Table2[[#This Row],[Price ($)]]&gt;500,"High Price","Standard Price")</f>
        <v>Standard Price</v>
      </c>
      <c r="H7" s="24" t="str">
        <f>LEFT(Table2[[#This Row],[Product ID]],2)</f>
        <v>07</v>
      </c>
      <c r="I7" s="21" t="str">
        <f>RIGHT(Table2[[#This Row],[Product ID]],2)</f>
        <v>UK</v>
      </c>
      <c r="J7" s="21" t="str">
        <f>MID(Table2[[#This Row],[Product ID]],4,3)</f>
        <v>JUN</v>
      </c>
      <c r="K7" s="26" t="s">
        <v>99</v>
      </c>
      <c r="L7" s="27">
        <f>SUMIF(F2:F35,"Electronics",D2:D35)</f>
        <v>8050</v>
      </c>
    </row>
    <row r="8" spans="1:12" ht="15.75" customHeight="1" x14ac:dyDescent="0.2">
      <c r="A8" s="16" t="s">
        <v>28</v>
      </c>
      <c r="B8" s="6" t="s">
        <v>29</v>
      </c>
      <c r="C8" s="6" t="s">
        <v>30</v>
      </c>
      <c r="D8" s="6">
        <v>30</v>
      </c>
      <c r="E8" s="6">
        <v>5</v>
      </c>
      <c r="F8" s="8" t="s">
        <v>13</v>
      </c>
      <c r="G8" s="8" t="str">
        <f>IF(Table2[[#This Row],[Price ($)]]&gt;500,"High Price","Standard Price")</f>
        <v>Standard Price</v>
      </c>
      <c r="H8" s="23" t="str">
        <f>LEFT(Table2[[#This Row],[Product ID]],2)</f>
        <v>19</v>
      </c>
      <c r="I8" s="20" t="str">
        <f>RIGHT(Table2[[#This Row],[Product ID]],2)</f>
        <v>UK</v>
      </c>
      <c r="J8" s="20" t="str">
        <f>MID(Table2[[#This Row],[Product ID]],4,3)</f>
        <v>JUL</v>
      </c>
      <c r="K8" s="28" t="s">
        <v>100</v>
      </c>
      <c r="L8" s="29">
        <f>COUNTIF(Table2[Price ($)],"&lt;100")</f>
        <v>11</v>
      </c>
    </row>
    <row r="9" spans="1:12" ht="15.75" customHeight="1" x14ac:dyDescent="0.2">
      <c r="A9" s="17" t="s">
        <v>31</v>
      </c>
      <c r="B9" s="7" t="s">
        <v>32</v>
      </c>
      <c r="C9" s="7" t="s">
        <v>33</v>
      </c>
      <c r="D9" s="7">
        <v>90</v>
      </c>
      <c r="E9" s="7">
        <v>35</v>
      </c>
      <c r="F9" s="9" t="s">
        <v>17</v>
      </c>
      <c r="G9" s="9" t="str">
        <f>IF(Table2[[#This Row],[Price ($)]]&gt;500,"High Price","Standard Price")</f>
        <v>Standard Price</v>
      </c>
      <c r="H9" s="24" t="str">
        <f>LEFT(Table2[[#This Row],[Product ID]],2)</f>
        <v>23</v>
      </c>
      <c r="I9" s="21" t="str">
        <f>RIGHT(Table2[[#This Row],[Product ID]],2)</f>
        <v>UK</v>
      </c>
      <c r="J9" s="21" t="str">
        <f>MID(Table2[[#This Row],[Product ID]],4,3)</f>
        <v>AUG</v>
      </c>
    </row>
    <row r="10" spans="1:12" ht="15.75" customHeight="1" x14ac:dyDescent="0.2">
      <c r="A10" s="16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8" t="s">
        <v>9</v>
      </c>
      <c r="G10" s="8" t="str">
        <f>IF(Table2[[#This Row],[Price ($)]]&gt;500,"High Price","Standard Price")</f>
        <v>Standard Price</v>
      </c>
      <c r="H10" s="23" t="str">
        <f>LEFT(Table2[[#This Row],[Product ID]],2)</f>
        <v>05</v>
      </c>
      <c r="I10" s="20" t="str">
        <f>RIGHT(Table2[[#This Row],[Product ID]],2)</f>
        <v>UK</v>
      </c>
      <c r="J10" s="20" t="str">
        <f>MID(Table2[[#This Row],[Product ID]],4,3)</f>
        <v>SEP</v>
      </c>
    </row>
    <row r="11" spans="1:12" ht="15.75" customHeight="1" x14ac:dyDescent="0.2">
      <c r="A11" s="17" t="s">
        <v>37</v>
      </c>
      <c r="B11" s="7" t="s">
        <v>38</v>
      </c>
      <c r="C11" s="7" t="s">
        <v>39</v>
      </c>
      <c r="D11" s="7">
        <v>130</v>
      </c>
      <c r="E11" s="7">
        <v>10</v>
      </c>
      <c r="F11" s="9" t="s">
        <v>24</v>
      </c>
      <c r="G11" s="9" t="str">
        <f>IF(Table2[[#This Row],[Price ($)]]&gt;500,"High Price","Standard Price")</f>
        <v>Standard Price</v>
      </c>
      <c r="H11" s="24" t="str">
        <f>LEFT(Table2[[#This Row],[Product ID]],2)</f>
        <v>14</v>
      </c>
      <c r="I11" s="21" t="str">
        <f>RIGHT(Table2[[#This Row],[Product ID]],2)</f>
        <v>UK</v>
      </c>
      <c r="J11" s="21" t="str">
        <f>MID(Table2[[#This Row],[Product ID]],4,3)</f>
        <v>OCT</v>
      </c>
    </row>
    <row r="12" spans="1:12" ht="15.75" customHeight="1" x14ac:dyDescent="0.2">
      <c r="A12" s="16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8" t="s">
        <v>9</v>
      </c>
      <c r="G12" s="8" t="str">
        <f>IF(Table2[[#This Row],[Price ($)]]&gt;500,"High Price","Standard Price")</f>
        <v>High Price</v>
      </c>
      <c r="H12" s="23" t="str">
        <f>LEFT(Table2[[#This Row],[Product ID]],2)</f>
        <v>17</v>
      </c>
      <c r="I12" s="20" t="str">
        <f>RIGHT(Table2[[#This Row],[Product ID]],2)</f>
        <v>IN</v>
      </c>
      <c r="J12" s="20" t="str">
        <f>MID(Table2[[#This Row],[Product ID]],4,3)</f>
        <v>JUN</v>
      </c>
    </row>
    <row r="13" spans="1:12" ht="15.75" customHeight="1" x14ac:dyDescent="0.2">
      <c r="A13" s="17" t="s">
        <v>42</v>
      </c>
      <c r="B13" s="7" t="s">
        <v>11</v>
      </c>
      <c r="C13" s="7" t="s">
        <v>30</v>
      </c>
      <c r="D13" s="7">
        <v>90</v>
      </c>
      <c r="E13" s="7">
        <v>40</v>
      </c>
      <c r="F13" s="9" t="s">
        <v>13</v>
      </c>
      <c r="G13" s="9" t="str">
        <f>IF(Table2[[#This Row],[Price ($)]]&gt;500,"High Price","Standard Price")</f>
        <v>Standard Price</v>
      </c>
      <c r="H13" s="24" t="str">
        <f>LEFT(Table2[[#This Row],[Product ID]],2)</f>
        <v>25</v>
      </c>
      <c r="I13" s="21" t="str">
        <f>RIGHT(Table2[[#This Row],[Product ID]],2)</f>
        <v>AU</v>
      </c>
      <c r="J13" s="21" t="str">
        <f>MID(Table2[[#This Row],[Product ID]],4,3)</f>
        <v>NOV</v>
      </c>
    </row>
    <row r="14" spans="1:12" ht="15.75" customHeight="1" x14ac:dyDescent="0.2">
      <c r="A14" s="16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8" t="s">
        <v>17</v>
      </c>
      <c r="G14" s="8" t="str">
        <f>IF(Table2[[#This Row],[Price ($)]]&gt;500,"High Price","Standard Price")</f>
        <v>Standard Price</v>
      </c>
      <c r="H14" s="23" t="str">
        <f>LEFT(Table2[[#This Row],[Product ID]],2)</f>
        <v>08</v>
      </c>
      <c r="I14" s="20" t="str">
        <f>RIGHT(Table2[[#This Row],[Product ID]],2)</f>
        <v>DE</v>
      </c>
      <c r="J14" s="20" t="str">
        <f>MID(Table2[[#This Row],[Product ID]],4,3)</f>
        <v>DEC</v>
      </c>
    </row>
    <row r="15" spans="1:12" ht="15.75" customHeight="1" x14ac:dyDescent="0.2">
      <c r="A15" s="17" t="s">
        <v>45</v>
      </c>
      <c r="B15" s="7" t="s">
        <v>46</v>
      </c>
      <c r="C15" s="7" t="s">
        <v>47</v>
      </c>
      <c r="D15" s="7">
        <v>150</v>
      </c>
      <c r="E15" s="7">
        <v>15</v>
      </c>
      <c r="F15" s="9" t="s">
        <v>9</v>
      </c>
      <c r="G15" s="9" t="str">
        <f>IF(Table2[[#This Row],[Price ($)]]&gt;500,"High Price","Standard Price")</f>
        <v>Standard Price</v>
      </c>
      <c r="H15" s="24" t="str">
        <f>LEFT(Table2[[#This Row],[Product ID]],2)</f>
        <v>18</v>
      </c>
      <c r="I15" s="21" t="str">
        <f>RIGHT(Table2[[#This Row],[Product ID]],2)</f>
        <v>CA</v>
      </c>
      <c r="J15" s="21" t="str">
        <f>MID(Table2[[#This Row],[Product ID]],4,3)</f>
        <v>FEB</v>
      </c>
    </row>
    <row r="16" spans="1:12" ht="15.75" customHeight="1" x14ac:dyDescent="0.2">
      <c r="A16" s="16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8" t="s">
        <v>9</v>
      </c>
      <c r="G16" s="8" t="str">
        <f>IF(Table2[[#This Row],[Price ($)]]&gt;500,"High Price","Standard Price")</f>
        <v>Standard Price</v>
      </c>
      <c r="H16" s="23" t="str">
        <f>LEFT(Table2[[#This Row],[Product ID]],2)</f>
        <v>16</v>
      </c>
      <c r="I16" s="20" t="str">
        <f>RIGHT(Table2[[#This Row],[Product ID]],2)</f>
        <v>ES</v>
      </c>
      <c r="J16" s="20" t="str">
        <f>MID(Table2[[#This Row],[Product ID]],4,3)</f>
        <v>APR</v>
      </c>
    </row>
    <row r="17" spans="1:10" ht="15.75" customHeight="1" x14ac:dyDescent="0.2">
      <c r="A17" s="17" t="s">
        <v>50</v>
      </c>
      <c r="B17" s="7" t="s">
        <v>51</v>
      </c>
      <c r="C17" s="7" t="s">
        <v>52</v>
      </c>
      <c r="D17" s="7">
        <v>50</v>
      </c>
      <c r="E17" s="7">
        <v>35</v>
      </c>
      <c r="F17" s="9" t="s">
        <v>53</v>
      </c>
      <c r="G17" s="9" t="str">
        <f>IF(Table2[[#This Row],[Price ($)]]&gt;500,"High Price","Standard Price")</f>
        <v>Standard Price</v>
      </c>
      <c r="H17" s="24" t="str">
        <f>LEFT(Table2[[#This Row],[Product ID]],2)</f>
        <v>21</v>
      </c>
      <c r="I17" s="21" t="str">
        <f>RIGHT(Table2[[#This Row],[Product ID]],2)</f>
        <v>CA</v>
      </c>
      <c r="J17" s="21" t="str">
        <f>MID(Table2[[#This Row],[Product ID]],4,3)</f>
        <v>AUG</v>
      </c>
    </row>
    <row r="18" spans="1:10" ht="15.75" customHeight="1" x14ac:dyDescent="0.2">
      <c r="A18" s="16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8" t="s">
        <v>9</v>
      </c>
      <c r="G18" s="8" t="str">
        <f>IF(Table2[[#This Row],[Price ($)]]&gt;500,"High Price","Standard Price")</f>
        <v>Standard Price</v>
      </c>
      <c r="H18" s="23" t="str">
        <f>LEFT(Table2[[#This Row],[Product ID]],2)</f>
        <v>20</v>
      </c>
      <c r="I18" s="20" t="str">
        <f>RIGHT(Table2[[#This Row],[Product ID]],2)</f>
        <v>CN</v>
      </c>
      <c r="J18" s="20" t="str">
        <f>MID(Table2[[#This Row],[Product ID]],4,3)</f>
        <v>AUG</v>
      </c>
    </row>
    <row r="19" spans="1:10" ht="15.75" customHeight="1" x14ac:dyDescent="0.2">
      <c r="A19" s="17" t="s">
        <v>56</v>
      </c>
      <c r="B19" s="7" t="s">
        <v>7</v>
      </c>
      <c r="C19" s="7" t="s">
        <v>57</v>
      </c>
      <c r="D19" s="7">
        <v>980</v>
      </c>
      <c r="E19" s="7">
        <v>10</v>
      </c>
      <c r="F19" s="9" t="s">
        <v>9</v>
      </c>
      <c r="G19" s="9" t="str">
        <f>IF(Table2[[#This Row],[Price ($)]]&gt;500,"High Price","Standard Price")</f>
        <v>High Price</v>
      </c>
      <c r="H19" s="24" t="str">
        <f>LEFT(Table2[[#This Row],[Product ID]],2)</f>
        <v>27</v>
      </c>
      <c r="I19" s="21" t="str">
        <f>RIGHT(Table2[[#This Row],[Product ID]],2)</f>
        <v>IT</v>
      </c>
      <c r="J19" s="21" t="str">
        <f>MID(Table2[[#This Row],[Product ID]],4,3)</f>
        <v>JAN</v>
      </c>
    </row>
    <row r="20" spans="1:10" ht="15.75" customHeight="1" x14ac:dyDescent="0.2">
      <c r="A20" s="16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8" t="s">
        <v>13</v>
      </c>
      <c r="G20" s="8" t="str">
        <f>IF(Table2[[#This Row],[Price ($)]]&gt;500,"High Price","Standard Price")</f>
        <v>Standard Price</v>
      </c>
      <c r="H20" s="23" t="str">
        <f>LEFT(Table2[[#This Row],[Product ID]],2)</f>
        <v>01</v>
      </c>
      <c r="I20" s="20" t="str">
        <f>RIGHT(Table2[[#This Row],[Product ID]],2)</f>
        <v>UK</v>
      </c>
      <c r="J20" s="20" t="str">
        <f>MID(Table2[[#This Row],[Product ID]],4,3)</f>
        <v>MAR</v>
      </c>
    </row>
    <row r="21" spans="1:10" ht="15.75" customHeight="1" x14ac:dyDescent="0.2">
      <c r="A21" s="17" t="s">
        <v>61</v>
      </c>
      <c r="B21" s="7" t="s">
        <v>62</v>
      </c>
      <c r="C21" s="7" t="s">
        <v>63</v>
      </c>
      <c r="D21" s="7">
        <v>200</v>
      </c>
      <c r="E21" s="7">
        <v>10</v>
      </c>
      <c r="F21" s="9" t="s">
        <v>24</v>
      </c>
      <c r="G21" s="9" t="str">
        <f>IF(Table2[[#This Row],[Price ($)]]&gt;500,"High Price","Standard Price")</f>
        <v>Standard Price</v>
      </c>
      <c r="H21" s="24" t="str">
        <f>LEFT(Table2[[#This Row],[Product ID]],2)</f>
        <v>14</v>
      </c>
      <c r="I21" s="21" t="str">
        <f>RIGHT(Table2[[#This Row],[Product ID]],2)</f>
        <v>US</v>
      </c>
      <c r="J21" s="21" t="str">
        <f>MID(Table2[[#This Row],[Product ID]],4,3)</f>
        <v>AUG</v>
      </c>
    </row>
    <row r="22" spans="1:10" ht="15.75" customHeight="1" x14ac:dyDescent="0.2">
      <c r="A22" s="16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8" t="s">
        <v>9</v>
      </c>
      <c r="G22" s="8" t="str">
        <f>IF(Table2[[#This Row],[Price ($)]]&gt;500,"High Price","Standard Price")</f>
        <v>High Price</v>
      </c>
      <c r="H22" s="23" t="str">
        <f>LEFT(Table2[[#This Row],[Product ID]],2)</f>
        <v>14</v>
      </c>
      <c r="I22" s="20" t="str">
        <f>RIGHT(Table2[[#This Row],[Product ID]],2)</f>
        <v>RU</v>
      </c>
      <c r="J22" s="20" t="str">
        <f>MID(Table2[[#This Row],[Product ID]],4,3)</f>
        <v>MAY</v>
      </c>
    </row>
    <row r="23" spans="1:10" ht="15.75" customHeight="1" x14ac:dyDescent="0.2">
      <c r="A23" s="17" t="s">
        <v>67</v>
      </c>
      <c r="B23" s="7" t="s">
        <v>68</v>
      </c>
      <c r="C23" s="7" t="s">
        <v>69</v>
      </c>
      <c r="D23" s="7">
        <v>80</v>
      </c>
      <c r="E23" s="7">
        <v>20</v>
      </c>
      <c r="F23" s="9" t="s">
        <v>17</v>
      </c>
      <c r="G23" s="9" t="str">
        <f>IF(Table2[[#This Row],[Price ($)]]&gt;500,"High Price","Standard Price")</f>
        <v>Standard Price</v>
      </c>
      <c r="H23" s="24" t="str">
        <f>LEFT(Table2[[#This Row],[Product ID]],2)</f>
        <v>09</v>
      </c>
      <c r="I23" s="21" t="str">
        <f>RIGHT(Table2[[#This Row],[Product ID]],2)</f>
        <v>CA</v>
      </c>
      <c r="J23" s="21" t="str">
        <f>MID(Table2[[#This Row],[Product ID]],4,3)</f>
        <v>JAN</v>
      </c>
    </row>
    <row r="24" spans="1:10" ht="15.75" customHeight="1" x14ac:dyDescent="0.2">
      <c r="A24" s="16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8" t="s">
        <v>9</v>
      </c>
      <c r="G24" s="8" t="str">
        <f>IF(Table2[[#This Row],[Price ($)]]&gt;500,"High Price","Standard Price")</f>
        <v>Standard Price</v>
      </c>
      <c r="H24" s="23" t="str">
        <f>LEFT(Table2[[#This Row],[Product ID]],2)</f>
        <v>19</v>
      </c>
      <c r="I24" s="20" t="str">
        <f>RIGHT(Table2[[#This Row],[Product ID]],2)</f>
        <v>BR</v>
      </c>
      <c r="J24" s="20" t="str">
        <f>MID(Table2[[#This Row],[Product ID]],4,3)</f>
        <v>JUL</v>
      </c>
    </row>
    <row r="25" spans="1:10" ht="15.75" customHeight="1" x14ac:dyDescent="0.2">
      <c r="A25" s="17" t="s">
        <v>50</v>
      </c>
      <c r="B25" s="7" t="s">
        <v>51</v>
      </c>
      <c r="C25" s="7" t="s">
        <v>52</v>
      </c>
      <c r="D25" s="7">
        <v>50</v>
      </c>
      <c r="E25" s="7">
        <v>35</v>
      </c>
      <c r="F25" s="9" t="s">
        <v>53</v>
      </c>
      <c r="G25" s="9" t="str">
        <f>IF(Table2[[#This Row],[Price ($)]]&gt;500,"High Price","Standard Price")</f>
        <v>Standard Price</v>
      </c>
      <c r="H25" s="24" t="str">
        <f>LEFT(Table2[[#This Row],[Product ID]],2)</f>
        <v>21</v>
      </c>
      <c r="I25" s="21" t="str">
        <f>RIGHT(Table2[[#This Row],[Product ID]],2)</f>
        <v>CA</v>
      </c>
      <c r="J25" s="21" t="str">
        <f>MID(Table2[[#This Row],[Product ID]],4,3)</f>
        <v>AUG</v>
      </c>
    </row>
    <row r="26" spans="1:10" ht="15.75" customHeight="1" x14ac:dyDescent="0.2">
      <c r="A26" s="16" t="s">
        <v>73</v>
      </c>
      <c r="B26" s="6" t="s">
        <v>19</v>
      </c>
      <c r="C26" s="6" t="s">
        <v>74</v>
      </c>
      <c r="D26" s="6">
        <v>800</v>
      </c>
      <c r="E26" s="6">
        <v>45</v>
      </c>
      <c r="F26" s="8" t="s">
        <v>9</v>
      </c>
      <c r="G26" s="8" t="str">
        <f>IF(Table2[[#This Row],[Price ($)]]&gt;500,"High Price","Standard Price")</f>
        <v>High Price</v>
      </c>
      <c r="H26" s="23" t="str">
        <f>LEFT(Table2[[#This Row],[Product ID]],2)</f>
        <v>29</v>
      </c>
      <c r="I26" s="20" t="str">
        <f>RIGHT(Table2[[#This Row],[Product ID]],2)</f>
        <v>CA</v>
      </c>
      <c r="J26" s="20" t="str">
        <f>MID(Table2[[#This Row],[Product ID]],4,3)</f>
        <v>SEP</v>
      </c>
    </row>
    <row r="27" spans="1:10" ht="15.75" customHeight="1" x14ac:dyDescent="0.2">
      <c r="A27" s="17" t="s">
        <v>75</v>
      </c>
      <c r="B27" s="7" t="s">
        <v>59</v>
      </c>
      <c r="C27" s="7" t="s">
        <v>76</v>
      </c>
      <c r="D27" s="7">
        <v>130</v>
      </c>
      <c r="E27" s="7">
        <v>25</v>
      </c>
      <c r="F27" s="9" t="s">
        <v>13</v>
      </c>
      <c r="G27" s="9" t="str">
        <f>IF(Table2[[#This Row],[Price ($)]]&gt;500,"High Price","Standard Price")</f>
        <v>Standard Price</v>
      </c>
      <c r="H27" s="24" t="str">
        <f>LEFT(Table2[[#This Row],[Product ID]],2)</f>
        <v>03</v>
      </c>
      <c r="I27" s="21" t="str">
        <f>RIGHT(Table2[[#This Row],[Product ID]],2)</f>
        <v>CA</v>
      </c>
      <c r="J27" s="21" t="str">
        <f>MID(Table2[[#This Row],[Product ID]],4,3)</f>
        <v>JUN</v>
      </c>
    </row>
    <row r="28" spans="1:10" ht="15.75" customHeight="1" x14ac:dyDescent="0.2">
      <c r="A28" s="16" t="s">
        <v>77</v>
      </c>
      <c r="B28" s="6" t="s">
        <v>32</v>
      </c>
      <c r="C28" s="6" t="s">
        <v>78</v>
      </c>
      <c r="D28" s="6">
        <v>400</v>
      </c>
      <c r="E28" s="6">
        <v>40</v>
      </c>
      <c r="F28" s="8" t="s">
        <v>17</v>
      </c>
      <c r="G28" s="8" t="str">
        <f>IF(Table2[[#This Row],[Price ($)]]&gt;500,"High Price","Standard Price")</f>
        <v>Standard Price</v>
      </c>
      <c r="H28" s="23" t="str">
        <f>LEFT(Table2[[#This Row],[Product ID]],2)</f>
        <v>11</v>
      </c>
      <c r="I28" s="20" t="str">
        <f>RIGHT(Table2[[#This Row],[Product ID]],2)</f>
        <v>CA</v>
      </c>
      <c r="J28" s="20" t="str">
        <f>MID(Table2[[#This Row],[Product ID]],4,3)</f>
        <v>JUL</v>
      </c>
    </row>
    <row r="29" spans="1:10" ht="15.75" customHeight="1" x14ac:dyDescent="0.2">
      <c r="A29" s="17" t="s">
        <v>48</v>
      </c>
      <c r="B29" s="7" t="s">
        <v>26</v>
      </c>
      <c r="C29" s="7" t="s">
        <v>49</v>
      </c>
      <c r="D29" s="7">
        <v>230</v>
      </c>
      <c r="E29" s="7">
        <v>20</v>
      </c>
      <c r="F29" s="9" t="s">
        <v>9</v>
      </c>
      <c r="G29" s="9" t="str">
        <f>IF(Table2[[#This Row],[Price ($)]]&gt;500,"High Price","Standard Price")</f>
        <v>Standard Price</v>
      </c>
      <c r="H29" s="24" t="str">
        <f>LEFT(Table2[[#This Row],[Product ID]],2)</f>
        <v>16</v>
      </c>
      <c r="I29" s="21" t="str">
        <f>RIGHT(Table2[[#This Row],[Product ID]],2)</f>
        <v>ES</v>
      </c>
      <c r="J29" s="21" t="str">
        <f>MID(Table2[[#This Row],[Product ID]],4,3)</f>
        <v>APR</v>
      </c>
    </row>
    <row r="30" spans="1:10" ht="15.75" customHeight="1" x14ac:dyDescent="0.2">
      <c r="A30" s="16" t="s">
        <v>79</v>
      </c>
      <c r="B30" s="6" t="s">
        <v>80</v>
      </c>
      <c r="C30" s="6" t="s">
        <v>81</v>
      </c>
      <c r="D30" s="6">
        <v>60</v>
      </c>
      <c r="E30" s="6">
        <v>30</v>
      </c>
      <c r="F30" s="8" t="s">
        <v>13</v>
      </c>
      <c r="G30" s="8" t="str">
        <f>IF(Table2[[#This Row],[Price ($)]]&gt;500,"High Price","Standard Price")</f>
        <v>Standard Price</v>
      </c>
      <c r="H30" s="23" t="str">
        <f>LEFT(Table2[[#This Row],[Product ID]],2)</f>
        <v>07</v>
      </c>
      <c r="I30" s="20" t="str">
        <f>RIGHT(Table2[[#This Row],[Product ID]],2)</f>
        <v>CA</v>
      </c>
      <c r="J30" s="20" t="str">
        <f>MID(Table2[[#This Row],[Product ID]],4,3)</f>
        <v>MAR</v>
      </c>
    </row>
    <row r="31" spans="1:10" ht="15.75" customHeight="1" x14ac:dyDescent="0.2">
      <c r="A31" s="17" t="s">
        <v>82</v>
      </c>
      <c r="B31" s="7" t="s">
        <v>83</v>
      </c>
      <c r="C31" s="7" t="s">
        <v>84</v>
      </c>
      <c r="D31" s="7">
        <v>40</v>
      </c>
      <c r="E31" s="7">
        <v>10</v>
      </c>
      <c r="F31" s="9" t="s">
        <v>17</v>
      </c>
      <c r="G31" s="9" t="str">
        <f>IF(Table2[[#This Row],[Price ($)]]&gt;500,"High Price","Standard Price")</f>
        <v>Standard Price</v>
      </c>
      <c r="H31" s="24" t="str">
        <f>LEFT(Table2[[#This Row],[Product ID]],2)</f>
        <v>13</v>
      </c>
      <c r="I31" s="21" t="str">
        <f>RIGHT(Table2[[#This Row],[Product ID]],2)</f>
        <v>CA</v>
      </c>
      <c r="J31" s="21" t="str">
        <f>MID(Table2[[#This Row],[Product ID]],4,3)</f>
        <v>APR</v>
      </c>
    </row>
    <row r="32" spans="1:10" ht="15.75" customHeight="1" x14ac:dyDescent="0.2">
      <c r="A32" s="16" t="s">
        <v>85</v>
      </c>
      <c r="B32" s="6" t="s">
        <v>71</v>
      </c>
      <c r="C32" s="6" t="s">
        <v>86</v>
      </c>
      <c r="D32" s="6">
        <v>130</v>
      </c>
      <c r="E32" s="6">
        <v>5</v>
      </c>
      <c r="F32" s="8" t="s">
        <v>9</v>
      </c>
      <c r="G32" s="8" t="str">
        <f>IF(Table2[[#This Row],[Price ($)]]&gt;500,"High Price","Standard Price")</f>
        <v>Standard Price</v>
      </c>
      <c r="H32" s="23" t="str">
        <f>LEFT(Table2[[#This Row],[Product ID]],2)</f>
        <v>24</v>
      </c>
      <c r="I32" s="20" t="str">
        <f>RIGHT(Table2[[#This Row],[Product ID]],2)</f>
        <v>CA</v>
      </c>
      <c r="J32" s="20" t="str">
        <f>MID(Table2[[#This Row],[Product ID]],4,3)</f>
        <v>MAY</v>
      </c>
    </row>
    <row r="33" spans="1:10" ht="15.75" customHeight="1" x14ac:dyDescent="0.2">
      <c r="A33" s="17" t="s">
        <v>87</v>
      </c>
      <c r="B33" s="7" t="s">
        <v>88</v>
      </c>
      <c r="C33" s="7" t="s">
        <v>89</v>
      </c>
      <c r="D33" s="7">
        <v>50</v>
      </c>
      <c r="E33" s="7">
        <v>50</v>
      </c>
      <c r="F33" s="9" t="s">
        <v>13</v>
      </c>
      <c r="G33" s="9" t="str">
        <f>IF(Table2[[#This Row],[Price ($)]]&gt;500,"High Price","Standard Price")</f>
        <v>Standard Price</v>
      </c>
      <c r="H33" s="24" t="str">
        <f>LEFT(Table2[[#This Row],[Product ID]],2)</f>
        <v>02</v>
      </c>
      <c r="I33" s="21" t="str">
        <f>RIGHT(Table2[[#This Row],[Product ID]],2)</f>
        <v>CA</v>
      </c>
      <c r="J33" s="21" t="str">
        <f>MID(Table2[[#This Row],[Product ID]],4,3)</f>
        <v>DEC</v>
      </c>
    </row>
    <row r="34" spans="1:10" ht="15.75" customHeight="1" x14ac:dyDescent="0.2">
      <c r="A34" s="16" t="s">
        <v>40</v>
      </c>
      <c r="B34" s="6" t="s">
        <v>7</v>
      </c>
      <c r="C34" s="6" t="s">
        <v>41</v>
      </c>
      <c r="D34" s="6">
        <v>950</v>
      </c>
      <c r="E34" s="6">
        <v>25</v>
      </c>
      <c r="F34" s="8" t="s">
        <v>9</v>
      </c>
      <c r="G34" s="8" t="str">
        <f>IF(Table2[[#This Row],[Price ($)]]&gt;500,"High Price","Standard Price")</f>
        <v>High Price</v>
      </c>
      <c r="H34" s="23" t="str">
        <f>LEFT(Table2[[#This Row],[Product ID]],2)</f>
        <v>17</v>
      </c>
      <c r="I34" s="20" t="str">
        <f>RIGHT(Table2[[#This Row],[Product ID]],2)</f>
        <v>IN</v>
      </c>
      <c r="J34" s="20" t="str">
        <f>MID(Table2[[#This Row],[Product ID]],4,3)</f>
        <v>JUN</v>
      </c>
    </row>
    <row r="35" spans="1:10" ht="15.75" customHeight="1" x14ac:dyDescent="0.2">
      <c r="A35" s="18" t="s">
        <v>90</v>
      </c>
      <c r="B35" s="13" t="s">
        <v>91</v>
      </c>
      <c r="C35" s="13" t="s">
        <v>92</v>
      </c>
      <c r="D35" s="13">
        <v>100</v>
      </c>
      <c r="E35" s="13">
        <v>20</v>
      </c>
      <c r="F35" s="14" t="s">
        <v>53</v>
      </c>
      <c r="G35" s="14" t="str">
        <f>IF(Table2[[#This Row],[Price ($)]]&gt;500,"High Price","Standard Price")</f>
        <v>Standard Price</v>
      </c>
      <c r="H35" s="25" t="str">
        <f>LEFT(Table2[[#This Row],[Product ID]],2)</f>
        <v>09</v>
      </c>
      <c r="I35" s="22" t="str">
        <f>RIGHT(Table2[[#This Row],[Product ID]],2)</f>
        <v>FR</v>
      </c>
      <c r="J35" s="22" t="str">
        <f>MID(Table2[[#This Row],[Product ID]],4,3)</f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G1:G104857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{3B83DE38-FEB7-40AE-8CF1-E3C236113203}</x14:id>
        </ext>
      </extLst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J104857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{5D01E743-6BE0-49AC-B3AD-61420F2971D8}</x14:id>
        </ext>
      </extLst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8">
    <cfRule type="colorScale" priority="1">
      <colorScale>
        <cfvo type="min"/>
        <cfvo type="max"/>
        <color rgb="FF63BE7B"/>
        <color rgb="FFFCFCFF"/>
      </colorScale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83DE38-FEB7-40AE-8CF1-E3C236113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5D01E743-6BE0-49AC-B3AD-61420F2971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Ravi</dc:creator>
  <cp:lastModifiedBy>Bharath</cp:lastModifiedBy>
  <dcterms:created xsi:type="dcterms:W3CDTF">2026-09-15T07:46:47Z</dcterms:created>
  <dcterms:modified xsi:type="dcterms:W3CDTF">2026-09-15T09:52:53Z</dcterms:modified>
</cp:coreProperties>
</file>